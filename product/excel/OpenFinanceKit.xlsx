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uración" sheetId="1" state="visible" r:id="rId1"/>
    <sheet name="Ingresos" sheetId="2" state="visible" r:id="rId2"/>
    <sheet name="Gastos" sheetId="3" state="visible" r:id="rId3"/>
    <sheet name="Pagos" sheetId="4" state="visible" r:id="rId4"/>
    <sheet name="Motor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YYYY-MM-DD"/>
    <numFmt numFmtId="166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b val="1"/>
      <color rgb="00000000"/>
      <sz val="12"/>
    </font>
    <font>
      <name val="Calibri"/>
      <b val="1"/>
      <color rgb="00C00000"/>
      <sz val="12"/>
    </font>
    <font>
      <name val="Calibri"/>
      <b val="1"/>
      <color rgb="00FFFFFF"/>
      <sz val="16"/>
    </font>
    <font>
      <name val="Calibri"/>
      <b val="1"/>
      <color rgb="001F3864"/>
      <sz val="16"/>
    </font>
    <font>
      <name val="Calibri"/>
      <b val="1"/>
      <color rgb="00375623"/>
      <sz val="16"/>
    </font>
    <font>
      <name val="Calibri"/>
      <b val="1"/>
      <color rgb="00C00000"/>
      <sz val="16"/>
    </font>
    <font>
      <name val="Calibri"/>
      <b val="1"/>
      <color rgb="00C55A11"/>
      <sz val="16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7030A0"/>
      </patternFill>
    </fill>
    <fill>
      <patternFill patternType="solid">
        <fgColor rgb="00F2F2F2"/>
      </patternFill>
    </fill>
    <fill>
      <patternFill patternType="solid">
        <fgColor rgb="00375623"/>
      </patternFill>
    </fill>
    <fill>
      <patternFill patternType="solid">
        <fgColor rgb="00DDEEFF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/>
    </xf>
    <xf numFmtId="164" fontId="0" fillId="0" borderId="1" pivotButton="0" quotePrefix="0" xfId="0"/>
    <xf numFmtId="0" fontId="1" fillId="4" borderId="1" applyAlignment="1" pivotButton="0" quotePrefix="0" xfId="0">
      <alignment horizontal="center" vertical="center"/>
    </xf>
    <xf numFmtId="165" fontId="0" fillId="0" borderId="1" pivotButton="0" quotePrefix="0" xfId="0"/>
    <xf numFmtId="0" fontId="1" fillId="3" borderId="0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0" fontId="1" fillId="6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right" vertical="center"/>
    </xf>
    <xf numFmtId="0" fontId="5" fillId="2" borderId="0" applyAlignment="1" pivotButton="0" quotePrefix="0" xfId="0">
      <alignment horizontal="center" vertical="center"/>
    </xf>
    <xf numFmtId="164" fontId="6" fillId="7" borderId="1" applyAlignment="1" pivotButton="0" quotePrefix="0" xfId="0">
      <alignment horizontal="center" vertical="center"/>
    </xf>
    <xf numFmtId="164" fontId="7" fillId="8" borderId="1" applyAlignment="1" pivotButton="0" quotePrefix="0" xfId="0">
      <alignment horizontal="center" vertical="center"/>
    </xf>
    <xf numFmtId="164" fontId="8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b val="1"/>
        <color rgb="00375623"/>
      </font>
      <fill>
        <patternFill patternType="solid">
          <fgColor rgb="00E2EFDA"/>
        </patternFill>
      </fill>
    </dxf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C00000"/>
        <sz val="16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Categorias" displayName="tblCategorias" ref="A1:C6" headerRowCount="1">
  <autoFilter ref="A1:C6"/>
  <tableColumns count="3">
    <tableColumn id="1" name="CategoriaID"/>
    <tableColumn id="2" name="Nombre"/>
    <tableColumn id="3" name="Tipo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tblCuentas" displayName="tblCuentas" ref="A8:C11" headerRowCount="1">
  <autoFilter ref="A8:C11"/>
  <tableColumns count="3">
    <tableColumn id="1" name="CuentaID"/>
    <tableColumn id="2" name="Nombre"/>
    <tableColumn id="3" name="SaldoInicial"/>
  </tableColumns>
  <tableStyleInfo name="TableStyleMedium3" showFirstColumn="0" showLastColumn="0" showRowStripes="1"/>
</table>
</file>

<file path=xl/tables/table3.xml><?xml version="1.0" encoding="utf-8"?>
<table xmlns="http://schemas.openxmlformats.org/spreadsheetml/2006/main" id="3" name="tblParametros" displayName="tblParametros" ref="A13:B16" headerRowCount="1">
  <autoFilter ref="A13:B16"/>
  <tableColumns count="2">
    <tableColumn id="1" name="Parametro"/>
    <tableColumn id="2" name="Valor"/>
  </tableColumns>
  <tableStyleInfo name="TableStyleMedium4" showFirstColumn="0" showLastColumn="0" showRowStripes="1"/>
</table>
</file>

<file path=xl/tables/table4.xml><?xml version="1.0" encoding="utf-8"?>
<table xmlns="http://schemas.openxmlformats.org/spreadsheetml/2006/main" id="4" name="tblIngresos" displayName="tblIngresos" ref="A1:F2" headerRowCount="1">
  <autoFilter ref="A1:F2"/>
  <tableColumns count="6">
    <tableColumn id="1" name="ID"/>
    <tableColumn id="2" name="Fecha"/>
    <tableColumn id="3" name="Categoria"/>
    <tableColumn id="4" name="Cuenta"/>
    <tableColumn id="5" name="Valor"/>
    <tableColumn id="6" name="Descripcion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tblGastos" displayName="tblGastos" ref="A1:F2" headerRowCount="1">
  <autoFilter ref="A1:F2"/>
  <tableColumns count="6">
    <tableColumn id="1" name="ID"/>
    <tableColumn id="2" name="Fecha"/>
    <tableColumn id="3" name="Categoria"/>
    <tableColumn id="4" name="Cuenta"/>
    <tableColumn id="5" name="Valor"/>
    <tableColumn id="6" name="Descripcion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tblPagos" displayName="tblPagos" ref="A1:E4" headerRowCount="1">
  <autoFilter ref="A1:E4"/>
  <tableColumns count="5">
    <tableColumn id="1" name="ID"/>
    <tableColumn id="2" name="Concepto"/>
    <tableColumn id="3" name="FechaVencimiento"/>
    <tableColumn id="4" name="Valor"/>
    <tableColumn id="5" name="Estad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6" customWidth="1" min="3" max="3"/>
  </cols>
  <sheetData>
    <row r="1">
      <c r="A1" s="1" t="inlineStr">
        <is>
          <t>CategoriaID</t>
        </is>
      </c>
      <c r="B1" s="1" t="inlineStr">
        <is>
          <t>Nombre</t>
        </is>
      </c>
      <c r="C1" s="1" t="inlineStr">
        <is>
          <t>Tipo</t>
        </is>
      </c>
    </row>
    <row r="2">
      <c r="A2" s="2" t="n">
        <v>1</v>
      </c>
      <c r="B2" s="2" t="inlineStr">
        <is>
          <t>Sueldo</t>
        </is>
      </c>
      <c r="C2" s="2" t="inlineStr">
        <is>
          <t>Ingreso</t>
        </is>
      </c>
    </row>
    <row r="3">
      <c r="A3" s="2" t="n">
        <v>2</v>
      </c>
      <c r="B3" s="2" t="inlineStr">
        <is>
          <t>Freelance</t>
        </is>
      </c>
      <c r="C3" s="2" t="inlineStr">
        <is>
          <t>Ingreso</t>
        </is>
      </c>
    </row>
    <row r="4">
      <c r="A4" s="2" t="n">
        <v>3</v>
      </c>
      <c r="B4" s="2" t="inlineStr">
        <is>
          <t>Otros ingresos</t>
        </is>
      </c>
      <c r="C4" s="2" t="inlineStr">
        <is>
          <t>Ingreso</t>
        </is>
      </c>
    </row>
    <row r="5">
      <c r="A5" s="2" t="n">
        <v>4</v>
      </c>
      <c r="B5" s="2" t="inlineStr">
        <is>
          <t>Alimentación</t>
        </is>
      </c>
      <c r="C5" s="2" t="inlineStr">
        <is>
          <t>Gasto</t>
        </is>
      </c>
    </row>
    <row r="6">
      <c r="A6" s="2" t="n">
        <v>5</v>
      </c>
      <c r="B6" s="2" t="inlineStr">
        <is>
          <t>Transporte</t>
        </is>
      </c>
      <c r="C6" s="2" t="inlineStr">
        <is>
          <t>Gasto</t>
        </is>
      </c>
    </row>
    <row r="8">
      <c r="A8" s="3" t="inlineStr">
        <is>
          <t>CuentaID</t>
        </is>
      </c>
      <c r="B8" s="3" t="inlineStr">
        <is>
          <t>Nombre</t>
        </is>
      </c>
      <c r="C8" s="3" t="inlineStr">
        <is>
          <t>SaldoInicial</t>
        </is>
      </c>
    </row>
    <row r="9">
      <c r="A9" s="2" t="n">
        <v>1</v>
      </c>
      <c r="B9" s="2" t="inlineStr">
        <is>
          <t>Efectivo</t>
        </is>
      </c>
      <c r="C9" s="4" t="n">
        <v>0</v>
      </c>
    </row>
    <row r="10">
      <c r="A10" s="2" t="n">
        <v>2</v>
      </c>
      <c r="B10" s="2" t="inlineStr">
        <is>
          <t>Banco</t>
        </is>
      </c>
      <c r="C10" s="4" t="n">
        <v>0</v>
      </c>
    </row>
    <row r="11">
      <c r="A11" s="2" t="n">
        <v>3</v>
      </c>
      <c r="B11" s="2" t="inlineStr">
        <is>
          <t>Tarjeta</t>
        </is>
      </c>
      <c r="C11" s="4" t="n">
        <v>0</v>
      </c>
    </row>
    <row r="13">
      <c r="A13" s="5" t="inlineStr">
        <is>
          <t>Parametro</t>
        </is>
      </c>
      <c r="B13" s="5" t="inlineStr">
        <is>
          <t>Valor</t>
        </is>
      </c>
    </row>
    <row r="14">
      <c r="A14" s="2" t="inlineStr">
        <is>
          <t>MesActual</t>
        </is>
      </c>
      <c r="B14" s="2" t="inlineStr">
        <is>
          <t>2026-08</t>
        </is>
      </c>
    </row>
    <row r="15">
      <c r="A15" s="2" t="inlineStr">
        <is>
          <t>Moneda</t>
        </is>
      </c>
      <c r="B15" s="2" t="inlineStr">
        <is>
          <t>USD</t>
        </is>
      </c>
    </row>
    <row r="16">
      <c r="A16" s="2" t="inlineStr">
        <is>
          <t>Version</t>
        </is>
      </c>
      <c r="B16" s="2" t="inlineStr">
        <is>
          <t>0.1.0</t>
        </is>
      </c>
    </row>
  </sheetData>
  <dataValidations count="2">
    <dataValidation sqref="C2:C1000" showDropDown="0" showInputMessage="0" showErrorMessage="0" allowBlank="0" type="list">
      <formula1>"Ingreso,Gasto"</formula1>
    </dataValidation>
    <dataValidation sqref="C9:C1000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8" customWidth="1" min="3" max="3"/>
    <col width="14" customWidth="1" min="4" max="4"/>
    <col width="13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Fecha</t>
        </is>
      </c>
      <c r="C1" s="1" t="inlineStr">
        <is>
          <t>Categoria</t>
        </is>
      </c>
      <c r="D1" s="1" t="inlineStr">
        <is>
          <t>Cuenta</t>
        </is>
      </c>
      <c r="E1" s="1" t="inlineStr">
        <is>
          <t>Valor</t>
        </is>
      </c>
      <c r="F1" s="1" t="inlineStr">
        <is>
          <t>Descripcion</t>
        </is>
      </c>
    </row>
    <row r="2">
      <c r="A2" s="2" t="n">
        <v>1</v>
      </c>
      <c r="B2" s="6" t="inlineStr">
        <is>
          <t>2026-08-01</t>
        </is>
      </c>
      <c r="C2" s="2" t="inlineStr">
        <is>
          <t>Sueldo</t>
        </is>
      </c>
      <c r="D2" s="2" t="inlineStr">
        <is>
          <t>Banco</t>
        </is>
      </c>
      <c r="E2" s="4" t="n">
        <v>3500</v>
      </c>
      <c r="F2" s="2" t="inlineStr">
        <is>
          <t>Sueldo agosto</t>
        </is>
      </c>
    </row>
  </sheetData>
  <dataValidations count="4">
    <dataValidation sqref="C2:C10000" showDropDown="0" showInputMessage="0" showErrorMessage="0" allowBlank="0" type="list">
      <formula1>=tblCategorias[Nombre]</formula1>
    </dataValidation>
    <dataValidation sqref="D2:D10000" showDropDown="0" showInputMessage="0" showErrorMessage="0" allowBlank="0" type="list">
      <formula1>=tblCuentas[Nombre]</formula1>
    </dataValidation>
    <dataValidation sqref="B2:B10000" showDropDown="0" showInputMessage="0" showErrorMessage="0" allowBlank="0" type="date" operator="greaterThan">
      <formula1>DATE(2000,1,1)</formula1>
    </dataValidation>
    <dataValidation sqref="E2:E10000" showDropDown="0" showInputMessage="0" showErrorMessage="0" allowBlank="0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FF0000"/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6" customWidth="1" min="1" max="1"/>
    <col width="13" customWidth="1" min="2" max="2"/>
    <col width="18" customWidth="1" min="3" max="3"/>
    <col width="14" customWidth="1" min="4" max="4"/>
    <col width="13" customWidth="1" min="5" max="5"/>
    <col width="28" customWidth="1" min="6" max="6"/>
  </cols>
  <sheetData>
    <row r="1">
      <c r="A1" s="1" t="inlineStr">
        <is>
          <t>ID</t>
        </is>
      </c>
      <c r="B1" s="1" t="inlineStr">
        <is>
          <t>Fecha</t>
        </is>
      </c>
      <c r="C1" s="1" t="inlineStr">
        <is>
          <t>Categoria</t>
        </is>
      </c>
      <c r="D1" s="1" t="inlineStr">
        <is>
          <t>Cuenta</t>
        </is>
      </c>
      <c r="E1" s="1" t="inlineStr">
        <is>
          <t>Valor</t>
        </is>
      </c>
      <c r="F1" s="1" t="inlineStr">
        <is>
          <t>Descripcion</t>
        </is>
      </c>
    </row>
    <row r="2">
      <c r="A2" s="2" t="n">
        <v>1</v>
      </c>
      <c r="B2" s="6" t="inlineStr">
        <is>
          <t>2026-08-02</t>
        </is>
      </c>
      <c r="C2" s="2" t="inlineStr">
        <is>
          <t>Alimentación</t>
        </is>
      </c>
      <c r="D2" s="2" t="inlineStr">
        <is>
          <t>Efectivo</t>
        </is>
      </c>
      <c r="E2" s="4" t="n">
        <v>120</v>
      </c>
      <c r="F2" s="2" t="inlineStr">
        <is>
          <t>Supermercado</t>
        </is>
      </c>
    </row>
  </sheetData>
  <dataValidations count="4">
    <dataValidation sqref="C2:C10000" showDropDown="0" showInputMessage="0" showErrorMessage="0" allowBlank="0" type="list">
      <formula1>=tblCategorias[Nombre]</formula1>
    </dataValidation>
    <dataValidation sqref="D2:D10000" showDropDown="0" showInputMessage="0" showErrorMessage="0" allowBlank="0" type="list">
      <formula1>=tblCuentas[Nombre]</formula1>
    </dataValidation>
    <dataValidation sqref="B2:B10000" showDropDown="0" showInputMessage="0" showErrorMessage="0" allowBlank="0" type="date" operator="greaterThan">
      <formula1>DATE(2000,1,1)</formula1>
    </dataValidation>
    <dataValidation sqref="E2:E10000" showDropDown="0" showInputMessage="0" showErrorMessage="0" allowBlank="0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13" customWidth="1" min="4" max="4"/>
    <col width="12" customWidth="1" min="5" max="5"/>
  </cols>
  <sheetData>
    <row r="1">
      <c r="A1" s="1" t="inlineStr">
        <is>
          <t>ID</t>
        </is>
      </c>
      <c r="B1" s="1" t="inlineStr">
        <is>
          <t>Concepto</t>
        </is>
      </c>
      <c r="C1" s="1" t="inlineStr">
        <is>
          <t>FechaVencimiento</t>
        </is>
      </c>
      <c r="D1" s="1" t="inlineStr">
        <is>
          <t>Valor</t>
        </is>
      </c>
      <c r="E1" s="1" t="inlineStr">
        <is>
          <t>Estado</t>
        </is>
      </c>
    </row>
    <row r="2">
      <c r="A2" s="2" t="n">
        <v>1</v>
      </c>
      <c r="B2" s="2" t="inlineStr">
        <is>
          <t>Internet</t>
        </is>
      </c>
      <c r="C2" s="6" t="inlineStr">
        <is>
          <t>2026-08-10</t>
        </is>
      </c>
      <c r="D2" s="4" t="n">
        <v>45</v>
      </c>
      <c r="E2" s="2" t="inlineStr">
        <is>
          <t>Pendiente</t>
        </is>
      </c>
    </row>
    <row r="3">
      <c r="A3" s="2" t="n">
        <v>2</v>
      </c>
      <c r="B3" s="2" t="inlineStr">
        <is>
          <t>Seguro</t>
        </is>
      </c>
      <c r="C3" s="6" t="inlineStr">
        <is>
          <t>2026-08-15</t>
        </is>
      </c>
      <c r="D3" s="4" t="n">
        <v>120</v>
      </c>
      <c r="E3" s="2" t="inlineStr">
        <is>
          <t>Pendiente</t>
        </is>
      </c>
    </row>
    <row r="4">
      <c r="A4" s="2" t="n">
        <v>3</v>
      </c>
      <c r="B4" s="2" t="inlineStr">
        <is>
          <t>Gimnasio</t>
        </is>
      </c>
      <c r="C4" s="6" t="inlineStr">
        <is>
          <t>2026-07-30</t>
        </is>
      </c>
      <c r="D4" s="4" t="n">
        <v>35</v>
      </c>
      <c r="E4" s="2" t="inlineStr">
        <is>
          <t>Vencido</t>
        </is>
      </c>
    </row>
  </sheetData>
  <dataValidations count="3">
    <dataValidation sqref="E2:E10000" showDropDown="0" showInputMessage="0" showErrorMessage="0" allowBlank="0" type="list">
      <formula1>"Pendiente,Pagado,Vencido"</formula1>
    </dataValidation>
    <dataValidation sqref="C2:C10000" showDropDown="0" showInputMessage="0" showErrorMessage="0" allowBlank="0" type="date" operator="greaterThan">
      <formula1>DATE(2000,1,1)</formula1>
    </dataValidation>
    <dataValidation sqref="D2:D10000" showDropDown="0" showInputMessage="0" showErrorMessage="0" allowBlank="0" type="decimal" operator="greaterThan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20" customHeight="1">
      <c r="A1" s="7" t="inlineStr">
        <is>
          <t>Resumen del mes</t>
        </is>
      </c>
    </row>
    <row r="2">
      <c r="A2" s="8" t="inlineStr">
        <is>
          <t>Ingresos del mes</t>
        </is>
      </c>
      <c r="B2" s="9">
        <f>SUMPRODUCT((YEAR(tblIngresos[Fecha])=YEAR(DATEVALUE(INDEX(tblParametros[Valor],MATCH("MesActual",tblParametros[Parametro],0))&amp;"-01")))*(MONTH(tblIngresos[Fecha])=MONTH(DATEVALUE(INDEX(tblParametros[Valor],MATCH("MesActual",tblParametros[Parametro],0))&amp;"-01")))*tblIngresos[Valor])</f>
        <v/>
      </c>
    </row>
    <row r="3">
      <c r="A3" s="8" t="inlineStr">
        <is>
          <t>Gastos del mes</t>
        </is>
      </c>
      <c r="B3" s="9">
        <f>SUMPRODUCT((YEAR(tblGastos[Fecha])=YEAR(DATEVALUE(INDEX(tblParametros[Valor],MATCH("MesActual",tblParametros[Parametro],0))&amp;"-01")))*(MONTH(tblGastos[Fecha])=MONTH(DATEVALUE(INDEX(tblParametros[Valor],MATCH("MesActual",tblParametros[Parametro],0))&amp;"-01")))*tblGastos[Valor])</f>
        <v/>
      </c>
    </row>
    <row r="4">
      <c r="A4" s="8" t="inlineStr">
        <is>
          <t>Balance del mes</t>
        </is>
      </c>
      <c r="B4" s="9">
        <f>B2-B3</f>
        <v/>
      </c>
    </row>
    <row r="6" ht="20" customHeight="1">
      <c r="A6" s="7" t="inlineStr">
        <is>
          <t>Saldo actual</t>
        </is>
      </c>
    </row>
    <row r="7">
      <c r="A7" s="8" t="inlineStr">
        <is>
          <t>Total Ingresos (histórico)</t>
        </is>
      </c>
      <c r="B7" s="9">
        <f>SUM(tblIngresos[Valor])</f>
        <v/>
      </c>
    </row>
    <row r="8">
      <c r="A8" s="8" t="inlineStr">
        <is>
          <t>Total Gastos (histórico)</t>
        </is>
      </c>
      <c r="B8" s="9">
        <f>SUM(tblGastos[Valor])</f>
        <v/>
      </c>
    </row>
    <row r="9">
      <c r="A9" s="8" t="inlineStr">
        <is>
          <t>Saldo actual</t>
        </is>
      </c>
      <c r="B9" s="9">
        <f>SUM(tblCuentas[SaldoInicial])+B7-B8</f>
        <v/>
      </c>
    </row>
    <row r="11" ht="20" customHeight="1">
      <c r="A11" s="7" t="inlineStr">
        <is>
          <t>Pagos</t>
        </is>
      </c>
    </row>
    <row r="12">
      <c r="A12" s="8" t="inlineStr">
        <is>
          <t>Pendiente de pago</t>
        </is>
      </c>
      <c r="B12" s="9">
        <f>SUMIF(tblPagos[Estado],"Pendiente",tblPagos[Valor])</f>
        <v/>
      </c>
    </row>
    <row r="13">
      <c r="A13" s="8" t="inlineStr">
        <is>
          <t>Total vencido</t>
        </is>
      </c>
      <c r="B13" s="10">
        <f>SUMIF(tblPagos[Estado],"Vencido",tblPagos[Valor])</f>
        <v/>
      </c>
    </row>
    <row r="14">
      <c r="A14" s="8" t="inlineStr">
        <is>
          <t>Total pagado</t>
        </is>
      </c>
      <c r="B14" s="9">
        <f>SUMIF(tblPagos[Estado],"Pagado",tblPagos[Valor])</f>
        <v/>
      </c>
    </row>
    <row r="16" ht="20" customHeight="1">
      <c r="A16" s="11" t="inlineStr">
        <is>
          <t>Indicadores clave</t>
        </is>
      </c>
    </row>
    <row r="17">
      <c r="A17" s="8" t="inlineStr">
        <is>
          <t>Disponible restante</t>
        </is>
      </c>
      <c r="B17" s="9">
        <f>B9-B12</f>
        <v/>
      </c>
    </row>
    <row r="18">
      <c r="A18" s="8" t="inlineStr">
        <is>
          <t>% Gastado</t>
        </is>
      </c>
      <c r="B18" s="12">
        <f>IFERROR(B3/B2,0)</f>
        <v/>
      </c>
    </row>
  </sheetData>
  <mergeCells count="4">
    <mergeCell ref="A11:B11"/>
    <mergeCell ref="A16:B16"/>
    <mergeCell ref="A6:B6"/>
    <mergeCell ref="A1:B1"/>
  </mergeCells>
  <conditionalFormatting sqref="B4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18">
    <cfRule type="cellIs" priority="3" operator="greaterThan" dxfId="1">
      <formula>0.8</formula>
    </cfRule>
    <cfRule type="cellIs" priority="4" operator="lessThanOrEqual" dxfId="0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B0F0"/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4" customWidth="1" min="3" max="3"/>
    <col width="26" customWidth="1" min="4" max="4"/>
    <col width="20" customWidth="1" min="5" max="5"/>
  </cols>
  <sheetData>
    <row r="1" ht="36" customHeight="1">
      <c r="A1" s="13">
        <f>CONCATENATE("OpenFinanceKit — ",INDEX(tblParametros[Valor],MATCH("MesActual",tblParametros[Parametro],0)))</f>
        <v/>
      </c>
    </row>
    <row r="3" ht="22" customHeight="1">
      <c r="A3" s="1" t="inlineStr">
        <is>
          <t>Saldo actual</t>
        </is>
      </c>
      <c r="B3" s="1" t="inlineStr">
        <is>
          <t>Ingresos del mes</t>
        </is>
      </c>
      <c r="D3" s="1" t="inlineStr">
        <is>
          <t>Gastos del mes</t>
        </is>
      </c>
      <c r="E3" s="1" t="inlineStr">
        <is>
          <t>Pendiente por pagar</t>
        </is>
      </c>
    </row>
    <row r="4" ht="36" customHeight="1">
      <c r="A4" s="14">
        <f>Motor!B9</f>
        <v/>
      </c>
      <c r="B4" s="15">
        <f>Motor!B2</f>
        <v/>
      </c>
      <c r="D4" s="16">
        <f>Motor!B3</f>
        <v/>
      </c>
      <c r="E4" s="17">
        <f>Motor!B12</f>
        <v/>
      </c>
    </row>
    <row r="6" ht="22" customHeight="1">
      <c r="A6" s="1" t="inlineStr">
        <is>
          <t>Disponible restante</t>
        </is>
      </c>
      <c r="B6" s="1" t="inlineStr">
        <is>
          <t>% Gastado</t>
        </is>
      </c>
    </row>
    <row r="7" ht="36" customHeight="1">
      <c r="A7" s="15">
        <f>Motor!B17</f>
        <v/>
      </c>
      <c r="B7" s="18">
        <f>Motor!B18</f>
        <v/>
      </c>
    </row>
  </sheetData>
  <mergeCells count="1">
    <mergeCell ref="A1:E1"/>
  </mergeCells>
  <conditionalFormatting sqref="A4">
    <cfRule type="cellIs" priority="1" operator="lessThan" dxfId="2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2026-08-03T19:54:28Z</dcterms:created>
  <dcterms:modified xsi:type="dcterms:W3CDTF">2026-08-03T19:54:28Z</dcterms:modified>
</cp:coreProperties>
</file>