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OG" sheetId="2" state="visible" r:id="rId2"/>
    <sheet name="Configuración" sheetId="3" state="visible" r:id="rId3"/>
    <sheet name="Ingresos" sheetId="4" state="visible" r:id="rId4"/>
    <sheet name="Gastos" sheetId="5" state="visible" r:id="rId5"/>
    <sheet name="Pagos" sheetId="6" state="visible" r:id="rId6"/>
    <sheet name="Motor" sheetId="7" state="visible" r:id="rId7"/>
    <sheet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44444"/>
      <sz val="12"/>
    </font>
    <font>
      <name val="Calibri"/>
      <b val="1"/>
      <color rgb="00FFFFFF"/>
      <sz val="13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sz val="11"/>
    </font>
    <font>
      <name val="Calibri"/>
      <i val="1"/>
      <color rgb="00666666"/>
      <sz val="10"/>
    </font>
    <font>
      <name val="Calibri"/>
      <b val="1"/>
      <color rgb="00000000"/>
      <sz val="12"/>
    </font>
    <font>
      <name val="Calibri"/>
      <b val="1"/>
      <color rgb="00C00000"/>
      <sz val="12"/>
    </font>
    <font>
      <name val="Calibri"/>
      <b val="1"/>
      <color rgb="00FFFFFF"/>
      <sz val="20"/>
    </font>
    <font>
      <name val="Calibri"/>
      <b val="1"/>
      <color rgb="00375623"/>
      <sz val="16"/>
    </font>
    <font>
      <name val="Calibri"/>
      <b val="1"/>
      <color rgb="00C00000"/>
      <sz val="16"/>
    </font>
    <font>
      <name val="Calibri"/>
      <b val="1"/>
      <color rgb="001F3864"/>
      <sz val="16"/>
    </font>
    <font>
      <name val="Calibri"/>
      <b val="1"/>
      <color rgb="00C55A11"/>
      <sz val="16"/>
    </font>
    <font>
      <name val="Calibri"/>
      <b val="1"/>
      <color rgb="00375623"/>
      <sz val="12"/>
    </font>
    <font>
      <name val="Calibri"/>
      <b val="1"/>
      <color rgb="001F3864"/>
      <sz val="12"/>
    </font>
    <font>
      <name val="Calibri"/>
      <b val="1"/>
      <color rgb="00C55A11"/>
      <sz val="12"/>
    </font>
    <font>
      <name val="Calibri"/>
      <i val="1"/>
      <color rgb="00888888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4" fillId="4" borderId="1" pivotButton="0" quotePrefix="0" xfId="0"/>
    <xf numFmtId="0" fontId="6" fillId="5" borderId="1" pivotButton="0" quotePrefix="0" xfId="0"/>
    <xf numFmtId="0" fontId="4" fillId="5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/>
    </xf>
    <xf numFmtId="0" fontId="9" fillId="0" borderId="1" pivotButton="0" quotePrefix="0" xfId="0"/>
    <xf numFmtId="164" fontId="9" fillId="0" borderId="1" pivotButton="0" quotePrefix="0" xfId="0"/>
    <xf numFmtId="0" fontId="10" fillId="0" borderId="0" applyAlignment="1" pivotButton="0" quotePrefix="0" xfId="0">
      <alignment horizontal="left" vertical="center"/>
    </xf>
    <xf numFmtId="165" fontId="9" fillId="0" borderId="1" pivotButton="0" quotePrefix="0" xfId="0"/>
    <xf numFmtId="0" fontId="8" fillId="3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164" fontId="11" fillId="0" borderId="1" applyAlignment="1" pivotButton="0" quotePrefix="0" xfId="0">
      <alignment horizontal="right" vertical="center"/>
    </xf>
    <xf numFmtId="0" fontId="8" fillId="7" borderId="0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 wrapText="1"/>
    </xf>
    <xf numFmtId="164" fontId="14" fillId="8" borderId="1" applyAlignment="1" pivotButton="0" quotePrefix="0" xfId="0">
      <alignment horizontal="center" vertical="center" wrapText="1"/>
    </xf>
    <xf numFmtId="164" fontId="15" fillId="9" borderId="1" applyAlignment="1" pivotButton="0" quotePrefix="0" xfId="0">
      <alignment horizontal="center" vertical="center" wrapText="1"/>
    </xf>
    <xf numFmtId="164" fontId="16" fillId="10" borderId="1" applyAlignment="1" pivotButton="0" quotePrefix="0" xfId="0">
      <alignment horizontal="center" vertical="center" wrapText="1"/>
    </xf>
    <xf numFmtId="164" fontId="17" fillId="11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left" vertical="center"/>
    </xf>
    <xf numFmtId="164" fontId="4" fillId="12" borderId="1" applyAlignment="1" pivotButton="0" quotePrefix="0" xfId="0">
      <alignment horizontal="right" vertical="center"/>
    </xf>
    <xf numFmtId="164" fontId="18" fillId="8" borderId="1" applyAlignment="1" pivotButton="0" quotePrefix="0" xfId="0">
      <alignment horizontal="right" vertical="center"/>
    </xf>
    <xf numFmtId="0" fontId="0" fillId="8" borderId="1" pivotButton="0" quotePrefix="0" xfId="0"/>
    <xf numFmtId="164" fontId="12" fillId="9" borderId="1" applyAlignment="1" pivotButton="0" quotePrefix="0" xfId="0">
      <alignment horizontal="right" vertical="center"/>
    </xf>
    <xf numFmtId="0" fontId="0" fillId="9" borderId="1" pivotButton="0" quotePrefix="0" xfId="0"/>
    <xf numFmtId="164" fontId="19" fillId="10" borderId="1" applyAlignment="1" pivotButton="0" quotePrefix="0" xfId="0">
      <alignment horizontal="right" vertical="center"/>
    </xf>
    <xf numFmtId="0" fontId="0" fillId="10" borderId="1" pivotButton="0" quotePrefix="0" xfId="0"/>
    <xf numFmtId="164" fontId="20" fillId="11" borderId="1" applyAlignment="1" pivotButton="0" quotePrefix="0" xfId="0">
      <alignment horizontal="right" vertical="center"/>
    </xf>
    <xf numFmtId="0" fontId="0" fillId="11" borderId="1" pivotButton="0" quotePrefix="0" xfId="0"/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b val="1"/>
        <color rgb="00375623"/>
      </font>
      <fill>
        <patternFill patternType="solid">
          <fgColor rgb="00E2EFDA"/>
        </patternFill>
      </fill>
    </dxf>
    <dxf>
      <font>
        <b val="1"/>
        <color rgb="00C000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Categorias" displayName="tblCategorias" ref="A3:C8" headerRowCount="1">
  <autoFilter ref="A3:C8"/>
  <tableColumns count="3">
    <tableColumn id="1" name="CategoriaID"/>
    <tableColumn id="2" name="Nombre"/>
    <tableColumn id="3" name="Ti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uentas" displayName="tblCuentas" ref="E3:G6" headerRowCount="1">
  <autoFilter ref="E3:G6"/>
  <tableColumns count="3">
    <tableColumn id="5" name="CuentaID"/>
    <tableColumn id="6" name="Nombre"/>
    <tableColumn id="7" name="SaldoInicial"/>
  </tableColumns>
  <tableStyleInfo name="TableStyleMedium3" showRowStripes="1"/>
</table>
</file>

<file path=xl/tables/table3.xml><?xml version="1.0" encoding="utf-8"?>
<table xmlns="http://schemas.openxmlformats.org/spreadsheetml/2006/main" id="3" name="tblParametros" displayName="tblParametros" ref="A11:B14" headerRowCount="1">
  <autoFilter ref="A11:B14"/>
  <tableColumns count="2">
    <tableColumn id="1" name="Parametro"/>
    <tableColumn id="2" name="Valor"/>
  </tableColumns>
  <tableStyleInfo name="TableStyleMedium4" showRowStripes="1"/>
</table>
</file>

<file path=xl/tables/table4.xml><?xml version="1.0" encoding="utf-8"?>
<table xmlns="http://schemas.openxmlformats.org/spreadsheetml/2006/main" id="4" name="tblIngresos" displayName="tblIngresos" ref="A3:F8" headerRowCount="1">
  <autoFilter ref="A3:F8"/>
  <tableColumns count="6">
    <tableColumn id="1" name="ID"/>
    <tableColumn id="2" name="Fecha"/>
    <tableColumn id="3" name="Categoria"/>
    <tableColumn id="4" name="Cuenta"/>
    <tableColumn id="5" name="Valor"/>
    <tableColumn id="6" name="Descrip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Gastos" displayName="tblGastos" ref="A3:F8" headerRowCount="1">
  <autoFilter ref="A3:F8"/>
  <tableColumns count="6">
    <tableColumn id="1" name="ID"/>
    <tableColumn id="2" name="Fecha"/>
    <tableColumn id="3" name="Categoria"/>
    <tableColumn id="4" name="Cuenta"/>
    <tableColumn id="5" name="Valor"/>
    <tableColumn id="6" name="Descrip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agos" displayName="tblPagos" ref="A3:E8" headerRowCount="1">
  <autoFilter ref="A3:E8"/>
  <tableColumns count="5">
    <tableColumn id="1" name="ID"/>
    <tableColumn id="2" name="Concepto"/>
    <tableColumn id="3" name="FechaVencimiento"/>
    <tableColumn id="4" name="Valor"/>
    <tableColumn id="5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36" customHeight="1">
      <c r="A1" s="1" t="inlineStr">
        <is>
          <t>OpenFinanceKit — MVP v0.1.0</t>
        </is>
      </c>
    </row>
    <row r="2" ht="22" customHeight="1">
      <c r="A2" s="2" t="inlineStr">
        <is>
          <t>Sistema de gestión financiera personal</t>
        </is>
      </c>
    </row>
    <row r="4" ht="22" customHeight="1">
      <c r="A4" s="3" t="inlineStr">
        <is>
          <t>¿Qué es OpenFinanceKit?</t>
        </is>
      </c>
    </row>
    <row r="5">
      <c r="A5" s="4" t="inlineStr">
        <is>
          <t>OpenFinanceKit es un sistema para administrar finanzas personales.</t>
        </is>
      </c>
    </row>
    <row r="6">
      <c r="A6" s="4" t="inlineStr">
        <is>
          <t>Permite registrar ingresos, gastos y pagos, calcular el estado financiero</t>
        </is>
      </c>
    </row>
    <row r="7">
      <c r="A7" s="4" t="inlineStr">
        <is>
          <t>del mes y visualizar un resumen general en el Dashboard.</t>
        </is>
      </c>
    </row>
    <row r="9" ht="22" customHeight="1">
      <c r="A9" s="3" t="inlineStr">
        <is>
          <t>Hojas del libro</t>
        </is>
      </c>
    </row>
    <row r="10">
      <c r="A10" s="5" t="inlineStr">
        <is>
          <t>Hoja</t>
        </is>
      </c>
      <c r="B10" s="5" t="inlineStr">
        <is>
          <t>Descripción</t>
        </is>
      </c>
    </row>
    <row r="11">
      <c r="A11" s="6" t="inlineStr">
        <is>
          <t>README</t>
        </is>
      </c>
      <c r="B11" s="7" t="inlineStr">
        <is>
          <t>Este archivo. Descripción y guía de uso.</t>
        </is>
      </c>
    </row>
    <row r="12">
      <c r="A12" s="8" t="inlineStr">
        <is>
          <t>LOG</t>
        </is>
      </c>
      <c r="B12" s="9" t="inlineStr">
        <is>
          <t>Historial de cambios del libro.</t>
        </is>
      </c>
    </row>
    <row r="13">
      <c r="A13" s="6" t="inlineStr">
        <is>
          <t>Configuración</t>
        </is>
      </c>
      <c r="B13" s="7" t="inlineStr">
        <is>
          <t>Categorías, cuentas y parámetros. No modificar sin criterio.</t>
        </is>
      </c>
    </row>
    <row r="14">
      <c r="A14" s="8" t="inlineStr">
        <is>
          <t>Ingresos</t>
        </is>
      </c>
      <c r="B14" s="9" t="inlineStr">
        <is>
          <t>Registra todos tus ingresos. Solo datos, sin fórmulas.</t>
        </is>
      </c>
    </row>
    <row r="15">
      <c r="A15" s="6" t="inlineStr">
        <is>
          <t>Gastos</t>
        </is>
      </c>
      <c r="B15" s="7" t="inlineStr">
        <is>
          <t>Registra todos tus gastos. Solo datos, sin fórmulas.</t>
        </is>
      </c>
    </row>
    <row r="16">
      <c r="A16" s="8" t="inlineStr">
        <is>
          <t>Pagos</t>
        </is>
      </c>
      <c r="B16" s="9" t="inlineStr">
        <is>
          <t>Pagos programados y su estado (Pendiente/Pagado/Vencido).</t>
        </is>
      </c>
    </row>
    <row r="17">
      <c r="A17" s="6" t="inlineStr">
        <is>
          <t>Motor</t>
        </is>
      </c>
      <c r="B17" s="7" t="inlineStr">
        <is>
          <t>Realiza TODOS los cálculos. No editar directamente.</t>
        </is>
      </c>
    </row>
    <row r="18">
      <c r="A18" s="8" t="inlineStr">
        <is>
          <t>Dashboard</t>
        </is>
      </c>
      <c r="B18" s="9" t="inlineStr">
        <is>
          <t>Resumen visual. Solo lectura.</t>
        </is>
      </c>
    </row>
    <row r="20">
      <c r="A20" s="3" t="inlineStr">
        <is>
          <t>Reglas de uso</t>
        </is>
      </c>
    </row>
    <row r="21">
      <c r="A21" s="4" t="inlineStr">
        <is>
          <t>RN-001  Configuración es la única fuente de datos maestros.</t>
        </is>
      </c>
    </row>
    <row r="22">
      <c r="A22" s="4" t="inlineStr">
        <is>
          <t>RN-002  Motor es la única hoja autorizada para realizar cálculos.</t>
        </is>
      </c>
    </row>
    <row r="23">
      <c r="A23" s="4" t="inlineStr">
        <is>
          <t>RN-003  Dashboard únicamente visualiza información.</t>
        </is>
      </c>
    </row>
    <row r="24">
      <c r="A24" s="4" t="inlineStr">
        <is>
          <t>RN-004  Las hojas de captura (Ingresos, Gastos, Pagos) solo almacenan datos.</t>
        </is>
      </c>
    </row>
    <row r="25">
      <c r="A25" s="4" t="inlineStr">
        <is>
          <t>RN-005  Las listas desplegables obtienen sus valores desde Configuración.</t>
        </is>
      </c>
    </row>
    <row r="26">
      <c r="A26" s="4" t="inlineStr">
        <is>
          <t>RN-006  Las tablas permiten agregar filas sin modificar fórmulas.</t>
        </is>
      </c>
    </row>
  </sheetData>
  <mergeCells count="14">
    <mergeCell ref="A24:F24"/>
    <mergeCell ref="A2:F2"/>
    <mergeCell ref="A1:F1"/>
    <mergeCell ref="A5:F5"/>
    <mergeCell ref="A9:F9"/>
    <mergeCell ref="A23:F23"/>
    <mergeCell ref="A6:F6"/>
    <mergeCell ref="A22:F22"/>
    <mergeCell ref="A4:F4"/>
    <mergeCell ref="A26:F26"/>
    <mergeCell ref="A21:F21"/>
    <mergeCell ref="A20:F20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2" customWidth="1" min="4" max="4"/>
    <col width="60" customWidth="1" min="5" max="5"/>
  </cols>
  <sheetData>
    <row r="1" ht="32" customHeight="1">
      <c r="A1" s="10" t="inlineStr">
        <is>
          <t>LOG — Historial de cambios</t>
        </is>
      </c>
    </row>
    <row r="3">
      <c r="A3" s="5" t="inlineStr">
        <is>
          <t>Versión</t>
        </is>
      </c>
      <c r="B3" s="5" t="inlineStr">
        <is>
          <t>Fecha</t>
        </is>
      </c>
      <c r="C3" s="5" t="inlineStr">
        <is>
          <t>Sprint</t>
        </is>
      </c>
      <c r="D3" s="5" t="inlineStr">
        <is>
          <t>Autor</t>
        </is>
      </c>
      <c r="E3" s="5" t="inlineStr">
        <is>
          <t>Descripción</t>
        </is>
      </c>
    </row>
    <row r="4">
      <c r="A4" s="11" t="inlineStr">
        <is>
          <t>v0.1.0</t>
        </is>
      </c>
      <c r="B4" s="11" t="inlineStr">
        <is>
          <t>2026-08-03</t>
        </is>
      </c>
      <c r="C4" s="11" t="inlineStr">
        <is>
          <t>Sprint 1</t>
        </is>
      </c>
      <c r="D4" s="11" t="inlineStr">
        <is>
          <t>Gustavo Echeverría</t>
        </is>
      </c>
      <c r="E4" s="11" t="inlineStr">
        <is>
          <t>Creación del MVP — 8 hojas, 6 tablas, Motor y Dashboard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2" customWidth="1" min="5" max="5"/>
    <col width="20" customWidth="1" min="6" max="6"/>
    <col width="16" customWidth="1" min="7" max="7"/>
  </cols>
  <sheetData>
    <row r="1" ht="32" customHeight="1">
      <c r="A1" s="10" t="inlineStr">
        <is>
          <t>Configuración — Datos maestros del sistema</t>
        </is>
      </c>
    </row>
    <row r="2">
      <c r="A2" s="12" t="inlineStr">
        <is>
          <t>tblCategorias</t>
        </is>
      </c>
      <c r="E2" s="12" t="inlineStr">
        <is>
          <t>tblCuentas</t>
        </is>
      </c>
    </row>
    <row r="3">
      <c r="A3" s="5" t="inlineStr">
        <is>
          <t>CategoriaID</t>
        </is>
      </c>
      <c r="B3" s="5" t="inlineStr">
        <is>
          <t>Nombre</t>
        </is>
      </c>
      <c r="C3" s="5" t="inlineStr">
        <is>
          <t>Tipo</t>
        </is>
      </c>
      <c r="E3" s="5" t="inlineStr">
        <is>
          <t>CuentaID</t>
        </is>
      </c>
      <c r="F3" s="5" t="inlineStr">
        <is>
          <t>Nombre</t>
        </is>
      </c>
      <c r="G3" s="5" t="inlineStr">
        <is>
          <t>SaldoInicial</t>
        </is>
      </c>
    </row>
    <row r="4">
      <c r="A4" s="13" t="n">
        <v>1</v>
      </c>
      <c r="B4" s="13" t="inlineStr">
        <is>
          <t>Sueldo</t>
        </is>
      </c>
      <c r="C4" s="13" t="inlineStr">
        <is>
          <t>Ingreso</t>
        </is>
      </c>
      <c r="E4" s="13" t="n">
        <v>1</v>
      </c>
      <c r="F4" s="13" t="inlineStr">
        <is>
          <t>Efectivo</t>
        </is>
      </c>
      <c r="G4" s="14" t="n">
        <v>0</v>
      </c>
    </row>
    <row r="5">
      <c r="A5" s="13" t="n">
        <v>2</v>
      </c>
      <c r="B5" s="13" t="inlineStr">
        <is>
          <t>Freelance</t>
        </is>
      </c>
      <c r="C5" s="13" t="inlineStr">
        <is>
          <t>Ingreso</t>
        </is>
      </c>
      <c r="E5" s="13" t="n">
        <v>2</v>
      </c>
      <c r="F5" s="13" t="inlineStr">
        <is>
          <t>Banco</t>
        </is>
      </c>
      <c r="G5" s="14" t="n">
        <v>0</v>
      </c>
    </row>
    <row r="6">
      <c r="A6" s="13" t="n">
        <v>3</v>
      </c>
      <c r="B6" s="13" t="inlineStr">
        <is>
          <t>Otros ingresos</t>
        </is>
      </c>
      <c r="C6" s="13" t="inlineStr">
        <is>
          <t>Ingreso</t>
        </is>
      </c>
      <c r="E6" s="13" t="n">
        <v>3</v>
      </c>
      <c r="F6" s="13" t="inlineStr">
        <is>
          <t>Tarjeta</t>
        </is>
      </c>
      <c r="G6" s="14" t="n">
        <v>0</v>
      </c>
    </row>
    <row r="7">
      <c r="A7" s="13" t="n">
        <v>4</v>
      </c>
      <c r="B7" s="13" t="inlineStr">
        <is>
          <t>Alimentación</t>
        </is>
      </c>
      <c r="C7" s="13" t="inlineStr">
        <is>
          <t>Gasto</t>
        </is>
      </c>
    </row>
    <row r="8">
      <c r="A8" s="13" t="n">
        <v>5</v>
      </c>
      <c r="B8" s="13" t="inlineStr">
        <is>
          <t>Transporte</t>
        </is>
      </c>
      <c r="C8" s="13" t="inlineStr">
        <is>
          <t>Gasto</t>
        </is>
      </c>
    </row>
    <row r="10">
      <c r="A10" s="12" t="inlineStr">
        <is>
          <t>tblParametros</t>
        </is>
      </c>
    </row>
    <row r="11">
      <c r="A11" s="5" t="inlineStr">
        <is>
          <t>Parametro</t>
        </is>
      </c>
      <c r="B11" s="5" t="inlineStr">
        <is>
          <t>Valor</t>
        </is>
      </c>
    </row>
    <row r="12">
      <c r="A12" s="13" t="inlineStr">
        <is>
          <t>MesActual</t>
        </is>
      </c>
      <c r="B12" s="13" t="inlineStr">
        <is>
          <t>2026-08</t>
        </is>
      </c>
    </row>
    <row r="13">
      <c r="A13" s="13" t="inlineStr">
        <is>
          <t>Moneda</t>
        </is>
      </c>
      <c r="B13" s="13" t="inlineStr">
        <is>
          <t>USD</t>
        </is>
      </c>
    </row>
    <row r="14">
      <c r="A14" s="13" t="inlineStr">
        <is>
          <t>Version</t>
        </is>
      </c>
      <c r="B14" s="13" t="inlineStr">
        <is>
          <t>0.1.0</t>
        </is>
      </c>
    </row>
  </sheetData>
  <mergeCells count="4">
    <mergeCell ref="A2:C2"/>
    <mergeCell ref="E2:G2"/>
    <mergeCell ref="A1:G1"/>
    <mergeCell ref="A10:B10"/>
  </mergeCells>
  <dataValidations count="1">
    <dataValidation sqref="C4:C1000" showDropDown="0" showInputMessage="0" showErrorMessage="0" allowBlank="0" type="list">
      <formula1>"Ingreso,Gasto"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6" customWidth="1" min="4" max="4"/>
    <col width="14" customWidth="1" min="5" max="5"/>
    <col width="30" customWidth="1" min="6" max="6"/>
  </cols>
  <sheetData>
    <row r="1" ht="32" customHeight="1">
      <c r="A1" s="10" t="inlineStr">
        <is>
          <t>Ingresos — Registro de ingresos</t>
        </is>
      </c>
    </row>
    <row r="2">
      <c r="A2" s="15" t="inlineStr">
        <is>
          <t>tblIngresos — Solo datos. No agregar fórmulas en esta hoja.</t>
        </is>
      </c>
    </row>
    <row r="3">
      <c r="A3" s="5" t="inlineStr">
        <is>
          <t>ID</t>
        </is>
      </c>
      <c r="B3" s="5" t="inlineStr">
        <is>
          <t>Fecha</t>
        </is>
      </c>
      <c r="C3" s="5" t="inlineStr">
        <is>
          <t>Categoria</t>
        </is>
      </c>
      <c r="D3" s="5" t="inlineStr">
        <is>
          <t>Cuenta</t>
        </is>
      </c>
      <c r="E3" s="5" t="inlineStr">
        <is>
          <t>Valor</t>
        </is>
      </c>
      <c r="F3" s="5" t="inlineStr">
        <is>
          <t>Descripcion</t>
        </is>
      </c>
    </row>
    <row r="4">
      <c r="A4" s="13" t="n">
        <v>1</v>
      </c>
      <c r="B4" s="16" t="inlineStr">
        <is>
          <t>2026-08-01</t>
        </is>
      </c>
      <c r="C4" s="13" t="inlineStr">
        <is>
          <t>Sueldo</t>
        </is>
      </c>
      <c r="D4" s="13" t="inlineStr">
        <is>
          <t>Banco</t>
        </is>
      </c>
      <c r="E4" s="14" t="n">
        <v>3500</v>
      </c>
      <c r="F4" s="13" t="inlineStr">
        <is>
          <t>Sueldo agosto</t>
        </is>
      </c>
    </row>
    <row r="5">
      <c r="A5" s="13" t="n">
        <v>2</v>
      </c>
      <c r="B5" s="16" t="inlineStr">
        <is>
          <t>2026-08-05</t>
        </is>
      </c>
      <c r="C5" s="13" t="inlineStr">
        <is>
          <t>Freelance</t>
        </is>
      </c>
      <c r="D5" s="13" t="inlineStr">
        <is>
          <t>Efectivo</t>
        </is>
      </c>
      <c r="E5" s="14" t="n">
        <v>500</v>
      </c>
      <c r="F5" s="13" t="inlineStr">
        <is>
          <t>Proyecto web</t>
        </is>
      </c>
    </row>
  </sheetData>
  <mergeCells count="2">
    <mergeCell ref="A2:F2"/>
    <mergeCell ref="A1:F1"/>
  </mergeCells>
  <dataValidations count="2">
    <dataValidation sqref="C4:C10000" showDropDown="0" showInputMessage="0" showErrorMessage="0" allowBlank="0" type="list">
      <formula1>=tblCategorias[Nombre]</formula1>
    </dataValidation>
    <dataValidation sqref="D4:D10000" showDropDown="0" showInputMessage="0" showErrorMessage="0" allowBlank="0" type="list">
      <formula1>=tblCuentas[Nombre]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6" customWidth="1" min="4" max="4"/>
    <col width="14" customWidth="1" min="5" max="5"/>
    <col width="30" customWidth="1" min="6" max="6"/>
  </cols>
  <sheetData>
    <row r="1" ht="32" customHeight="1">
      <c r="A1" s="10" t="inlineStr">
        <is>
          <t>Gastos — Registro de gastos</t>
        </is>
      </c>
    </row>
    <row r="2">
      <c r="A2" s="15" t="inlineStr">
        <is>
          <t>tblGastos — Solo datos. No agregar fórmulas en esta hoja.</t>
        </is>
      </c>
    </row>
    <row r="3">
      <c r="A3" s="5" t="inlineStr">
        <is>
          <t>ID</t>
        </is>
      </c>
      <c r="B3" s="5" t="inlineStr">
        <is>
          <t>Fecha</t>
        </is>
      </c>
      <c r="C3" s="5" t="inlineStr">
        <is>
          <t>Categoria</t>
        </is>
      </c>
      <c r="D3" s="5" t="inlineStr">
        <is>
          <t>Cuenta</t>
        </is>
      </c>
      <c r="E3" s="5" t="inlineStr">
        <is>
          <t>Valor</t>
        </is>
      </c>
      <c r="F3" s="5" t="inlineStr">
        <is>
          <t>Descripcion</t>
        </is>
      </c>
    </row>
    <row r="4">
      <c r="A4" s="13" t="n">
        <v>1</v>
      </c>
      <c r="B4" s="16" t="inlineStr">
        <is>
          <t>2026-08-02</t>
        </is>
      </c>
      <c r="C4" s="13" t="inlineStr">
        <is>
          <t>Alimentación</t>
        </is>
      </c>
      <c r="D4" s="13" t="inlineStr">
        <is>
          <t>Efectivo</t>
        </is>
      </c>
      <c r="E4" s="14" t="n">
        <v>120</v>
      </c>
      <c r="F4" s="13" t="inlineStr">
        <is>
          <t>Supermercado</t>
        </is>
      </c>
    </row>
    <row r="5">
      <c r="A5" s="13" t="n">
        <v>2</v>
      </c>
      <c r="B5" s="16" t="inlineStr">
        <is>
          <t>2026-08-03</t>
        </is>
      </c>
      <c r="C5" s="13" t="inlineStr">
        <is>
          <t>Transporte</t>
        </is>
      </c>
      <c r="D5" s="13" t="inlineStr">
        <is>
          <t>Efectivo</t>
        </is>
      </c>
      <c r="E5" s="14" t="n">
        <v>45</v>
      </c>
      <c r="F5" s="13" t="inlineStr">
        <is>
          <t>Gasolina</t>
        </is>
      </c>
    </row>
  </sheetData>
  <mergeCells count="2">
    <mergeCell ref="A2:F2"/>
    <mergeCell ref="A1:F1"/>
  </mergeCells>
  <dataValidations count="2">
    <dataValidation sqref="C4:C10000" showDropDown="0" showInputMessage="0" showErrorMessage="0" allowBlank="0" type="list">
      <formula1>=tblCategorias[Nombre]</formula1>
    </dataValidation>
    <dataValidation sqref="D4:D10000" showDropDown="0" showInputMessage="0" showErrorMessage="0" allowBlank="0" type="list">
      <formula1>=tblCuentas[Nombre]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14" customWidth="1" min="5" max="5"/>
  </cols>
  <sheetData>
    <row r="1" ht="32" customHeight="1">
      <c r="A1" s="10" t="inlineStr">
        <is>
          <t>Pagos — Pagos programados</t>
        </is>
      </c>
    </row>
    <row r="2">
      <c r="A2" s="15" t="inlineStr">
        <is>
          <t>tblPagos — Solo datos. No agregar fórmulas en esta hoja.</t>
        </is>
      </c>
    </row>
    <row r="3">
      <c r="A3" s="5" t="inlineStr">
        <is>
          <t>ID</t>
        </is>
      </c>
      <c r="B3" s="5" t="inlineStr">
        <is>
          <t>Concepto</t>
        </is>
      </c>
      <c r="C3" s="5" t="inlineStr">
        <is>
          <t>FechaVencimiento</t>
        </is>
      </c>
      <c r="D3" s="5" t="inlineStr">
        <is>
          <t>Valor</t>
        </is>
      </c>
      <c r="E3" s="5" t="inlineStr">
        <is>
          <t>Estado</t>
        </is>
      </c>
    </row>
    <row r="4">
      <c r="A4" s="13" t="n">
        <v>1</v>
      </c>
      <c r="B4" s="13" t="inlineStr">
        <is>
          <t>Internet</t>
        </is>
      </c>
      <c r="C4" s="16" t="inlineStr">
        <is>
          <t>2026-08-10</t>
        </is>
      </c>
      <c r="D4" s="14" t="n">
        <v>45</v>
      </c>
      <c r="E4" s="13" t="inlineStr">
        <is>
          <t>Pendiente</t>
        </is>
      </c>
    </row>
    <row r="5">
      <c r="A5" s="13" t="n">
        <v>2</v>
      </c>
      <c r="B5" s="13" t="inlineStr">
        <is>
          <t>Seguro</t>
        </is>
      </c>
      <c r="C5" s="16" t="inlineStr">
        <is>
          <t>2026-08-15</t>
        </is>
      </c>
      <c r="D5" s="14" t="n">
        <v>120</v>
      </c>
      <c r="E5" s="13" t="inlineStr">
        <is>
          <t>Pendiente</t>
        </is>
      </c>
    </row>
    <row r="6">
      <c r="A6" s="13" t="n">
        <v>3</v>
      </c>
      <c r="B6" s="13" t="inlineStr">
        <is>
          <t>Gimnasio</t>
        </is>
      </c>
      <c r="C6" s="16" t="inlineStr">
        <is>
          <t>2026-07-30</t>
        </is>
      </c>
      <c r="D6" s="14" t="n">
        <v>35</v>
      </c>
      <c r="E6" s="13" t="inlineStr">
        <is>
          <t>Vencido</t>
        </is>
      </c>
    </row>
  </sheetData>
  <mergeCells count="2">
    <mergeCell ref="A2:E2"/>
    <mergeCell ref="A1:E1"/>
  </mergeCells>
  <dataValidations count="1">
    <dataValidation sqref="E4:E10000" showDropDown="0" showInputMessage="0" showErrorMessage="0" allowBlank="0" type="list">
      <formula1>"Pendiente,Pagado,Vencido"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" customWidth="1" min="3" max="3"/>
    <col width="30" customWidth="1" min="4" max="4"/>
    <col width="18" customWidth="1" min="5" max="5"/>
  </cols>
  <sheetData>
    <row r="1" ht="32" customHeight="1">
      <c r="A1" s="10" t="inlineStr">
        <is>
          <t>Motor — Centro de cálculos</t>
        </is>
      </c>
    </row>
    <row r="2">
      <c r="A2" s="15" t="inlineStr">
        <is>
          <t>⚠️  Esta hoja realiza TODOS los cálculos. No editar directamente.</t>
        </is>
      </c>
    </row>
    <row r="4" ht="22" customHeight="1">
      <c r="A4" s="17" t="inlineStr">
        <is>
          <t>Resumen del mes</t>
        </is>
      </c>
      <c r="D4" s="18" t="inlineStr">
        <is>
          <t>Ingresos por categoría</t>
        </is>
      </c>
    </row>
    <row r="5">
      <c r="A5" s="19" t="inlineStr">
        <is>
          <t>Total Ingresos del mes</t>
        </is>
      </c>
      <c r="B5" s="20">
        <f>SUMPRODUCT((TEXT(tblIngresos[Fecha],"YYYY-MM")=INDEX(tblParametros[Valor],MATCH("MesActual",tblParametros[Parametro],0)))*tblIngresos[Valor])</f>
        <v/>
      </c>
      <c r="D5" s="19" t="inlineStr">
        <is>
          <t>Sueldo</t>
        </is>
      </c>
      <c r="E5" s="20">
        <f>SUMIF(tblIngresos[Categoria],"Sueldo",tblIngresos[Valor])</f>
        <v/>
      </c>
    </row>
    <row r="6">
      <c r="A6" s="19" t="inlineStr">
        <is>
          <t>Total Gastos del mes</t>
        </is>
      </c>
      <c r="B6" s="20">
        <f>SUMPRODUCT((TEXT(tblGastos[Fecha],"YYYY-MM")=INDEX(tblParametros[Valor],MATCH("MesActual",tblParametros[Parametro],0)))*tblGastos[Valor])</f>
        <v/>
      </c>
      <c r="D6" s="19" t="inlineStr">
        <is>
          <t>Freelance</t>
        </is>
      </c>
      <c r="E6" s="20">
        <f>SUMIF(tblIngresos[Categoria],"Freelance",tblIngresos[Valor])</f>
        <v/>
      </c>
    </row>
    <row r="7">
      <c r="A7" s="19" t="inlineStr">
        <is>
          <t>Balance del mes</t>
        </is>
      </c>
      <c r="B7" s="20">
        <f>B5-B6</f>
        <v/>
      </c>
      <c r="D7" s="19" t="inlineStr">
        <is>
          <t>Otros ingresos</t>
        </is>
      </c>
      <c r="E7" s="20">
        <f>SUMIF(tblIngresos[Categoria],"Otros ingresos",tblIngresos[Valor])</f>
        <v/>
      </c>
    </row>
    <row r="9" ht="22" customHeight="1">
      <c r="A9" s="17" t="inlineStr">
        <is>
          <t>Saldos por cuenta</t>
        </is>
      </c>
      <c r="D9" s="21" t="inlineStr">
        <is>
          <t>Gastos por categoría</t>
        </is>
      </c>
    </row>
    <row r="10">
      <c r="A10" s="19" t="inlineStr">
        <is>
          <t>Saldo — Efectivo</t>
        </is>
      </c>
      <c r="B10" s="20">
        <f>SUMIF(tblCuentas[Nombre],"Efectivo",tblCuentas[SaldoInicial])+SUMIF(tblIngresos[Cuenta],"Efectivo",tblIngresos[Valor])-SUMIF(tblGastos[Cuenta],"Efectivo",tblGastos[Valor])</f>
        <v/>
      </c>
      <c r="D10" s="19" t="inlineStr">
        <is>
          <t>Alimentación</t>
        </is>
      </c>
      <c r="E10" s="20">
        <f>SUMIF(tblGastos[Categoria],"Alimentación",tblGastos[Valor])</f>
        <v/>
      </c>
    </row>
    <row r="11">
      <c r="A11" s="19" t="inlineStr">
        <is>
          <t>Saldo — Banco</t>
        </is>
      </c>
      <c r="B11" s="20">
        <f>SUMIF(tblCuentas[Nombre],"Banco",tblCuentas[SaldoInicial])+SUMIF(tblIngresos[Cuenta],"Banco",tblIngresos[Valor])-SUMIF(tblGastos[Cuenta],"Banco",tblGastos[Valor])</f>
        <v/>
      </c>
      <c r="D11" s="19" t="inlineStr">
        <is>
          <t>Transporte</t>
        </is>
      </c>
      <c r="E11" s="20">
        <f>SUMIF(tblGastos[Categoria],"Transporte",tblGastos[Valor])</f>
        <v/>
      </c>
    </row>
    <row r="12">
      <c r="A12" s="19" t="inlineStr">
        <is>
          <t>Saldo — Tarjeta</t>
        </is>
      </c>
      <c r="B12" s="20">
        <f>SUMIF(tblCuentas[Nombre],"Tarjeta",tblCuentas[SaldoInicial])+SUMIF(tblIngresos[Cuenta],"Tarjeta",tblIngresos[Valor])-SUMIF(tblGastos[Cuenta],"Tarjeta",tblGastos[Valor])</f>
        <v/>
      </c>
    </row>
    <row r="14" ht="22" customHeight="1">
      <c r="A14" s="17" t="inlineStr">
        <is>
          <t>Totales generales</t>
        </is>
      </c>
    </row>
    <row r="15">
      <c r="A15" s="19" t="inlineStr">
        <is>
          <t>Total Ingresos (histórico)</t>
        </is>
      </c>
      <c r="B15" s="20">
        <f>SUM(tblIngresos[Valor])</f>
        <v/>
      </c>
    </row>
    <row r="16">
      <c r="A16" s="19" t="inlineStr">
        <is>
          <t>Total Gastos (histórico)</t>
        </is>
      </c>
      <c r="B16" s="20">
        <f>SUM(tblGastos[Valor])</f>
        <v/>
      </c>
    </row>
    <row r="17">
      <c r="A17" s="19" t="inlineStr">
        <is>
          <t>Saldo actual total</t>
        </is>
      </c>
      <c r="B17" s="20">
        <f>SUM(tblCuentas[SaldoInicial])+B15-B16</f>
        <v/>
      </c>
    </row>
    <row r="19" ht="22" customHeight="1">
      <c r="A19" s="17" t="inlineStr">
        <is>
          <t>Pagos</t>
        </is>
      </c>
    </row>
    <row r="20">
      <c r="A20" s="19" t="inlineStr">
        <is>
          <t>Pendiente de pago</t>
        </is>
      </c>
      <c r="B20" s="20">
        <f>SUMIF(tblPagos[Estado],"Pendiente",tblPagos[Valor])</f>
        <v/>
      </c>
    </row>
    <row r="21">
      <c r="A21" s="19" t="inlineStr">
        <is>
          <t>Total vencido</t>
        </is>
      </c>
      <c r="B21" s="22">
        <f>SUMIF(tblPagos[Estado],"Vencido",tblPagos[Valor])</f>
        <v/>
      </c>
    </row>
    <row r="22">
      <c r="A22" s="19" t="inlineStr">
        <is>
          <t>Total pagado</t>
        </is>
      </c>
      <c r="B22" s="20">
        <f>SUMIF(tblPagos[Estado],"Pagado",tblPagos[Valor])</f>
        <v/>
      </c>
    </row>
  </sheetData>
  <mergeCells count="8">
    <mergeCell ref="A4:B4"/>
    <mergeCell ref="A2:E2"/>
    <mergeCell ref="A19:B19"/>
    <mergeCell ref="A1:E1"/>
    <mergeCell ref="A14:B14"/>
    <mergeCell ref="D4:E4"/>
    <mergeCell ref="A9:B9"/>
    <mergeCell ref="D9:E9"/>
  </mergeCells>
  <conditionalFormatting sqref="B7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F0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" customWidth="1" min="6" max="6"/>
  </cols>
  <sheetData>
    <row r="1" ht="40" customHeight="1">
      <c r="A1" s="23" t="inlineStr">
        <is>
          <t>OpenFinanceKit — Dashboard</t>
        </is>
      </c>
    </row>
    <row r="2">
      <c r="A2" s="2">
        <f>CONCATENATE("Período: ",IFERROR(INDEX(tblParametros[Valor],MATCH("MesActual",tblParametros[Parametro],0)),"N/A"))</f>
        <v/>
      </c>
    </row>
    <row r="4" ht="24" customHeight="1">
      <c r="A4" s="5" t="inlineStr">
        <is>
          <t>💰 INGRESOS</t>
        </is>
      </c>
      <c r="B4" s="5" t="inlineStr">
        <is>
          <t>💸 GASTOS</t>
        </is>
      </c>
      <c r="C4" s="5" t="inlineStr">
        <is>
          <t>📊 BALANCE</t>
        </is>
      </c>
      <c r="D4" s="5" t="inlineStr">
        <is>
          <t>⏳ PENDIENTE</t>
        </is>
      </c>
      <c r="E4" s="5" t="inlineStr">
        <is>
          <t>🚨 VENCIDO</t>
        </is>
      </c>
    </row>
    <row r="5" ht="36" customHeight="1">
      <c r="A5" s="24">
        <f>Motor!B5</f>
        <v/>
      </c>
      <c r="B5" s="25">
        <f>Motor!B6</f>
        <v/>
      </c>
      <c r="C5" s="26">
        <f>Motor!B7</f>
        <v/>
      </c>
      <c r="D5" s="27">
        <f>Motor!B20</f>
        <v/>
      </c>
      <c r="E5" s="25">
        <f>Motor!B21</f>
        <v/>
      </c>
    </row>
    <row r="7" ht="22" customHeight="1">
      <c r="A7" s="17" t="inlineStr">
        <is>
          <t>Saldos por cuenta</t>
        </is>
      </c>
    </row>
    <row r="8">
      <c r="A8" s="5" t="inlineStr">
        <is>
          <t>Cuenta</t>
        </is>
      </c>
      <c r="B8" s="5" t="inlineStr">
        <is>
          <t>Saldo Inicial</t>
        </is>
      </c>
      <c r="C8" s="5" t="inlineStr">
        <is>
          <t>Entradas</t>
        </is>
      </c>
      <c r="D8" s="5" t="inlineStr">
        <is>
          <t>Salidas</t>
        </is>
      </c>
      <c r="E8" s="5" t="inlineStr">
        <is>
          <t>Saldo Actual</t>
        </is>
      </c>
    </row>
    <row r="9">
      <c r="A9" s="28" t="inlineStr">
        <is>
          <t>Efectivo</t>
        </is>
      </c>
      <c r="B9" s="29">
        <f>SUMIF(tblCuentas[Nombre],"Efectivo",tblCuentas[SaldoInicial])</f>
        <v/>
      </c>
      <c r="C9" s="29">
        <f>SUMIF(tblIngresos[Cuenta],"Efectivo",tblIngresos[Valor])</f>
        <v/>
      </c>
      <c r="D9" s="29">
        <f>SUMIF(tblGastos[Cuenta],"Efectivo",tblGastos[Valor])</f>
        <v/>
      </c>
      <c r="E9" s="29">
        <f>Motor!B10</f>
        <v/>
      </c>
    </row>
    <row r="10">
      <c r="A10" s="30" t="inlineStr">
        <is>
          <t>Banco</t>
        </is>
      </c>
      <c r="B10" s="31">
        <f>SUMIF(tblCuentas[Nombre],"Banco",tblCuentas[SaldoInicial])</f>
        <v/>
      </c>
      <c r="C10" s="31">
        <f>SUMIF(tblIngresos[Cuenta],"Banco",tblIngresos[Valor])</f>
        <v/>
      </c>
      <c r="D10" s="31">
        <f>SUMIF(tblGastos[Cuenta],"Banco",tblGastos[Valor])</f>
        <v/>
      </c>
      <c r="E10" s="31">
        <f>Motor!B11</f>
        <v/>
      </c>
    </row>
    <row r="11">
      <c r="A11" s="28" t="inlineStr">
        <is>
          <t>Tarjeta</t>
        </is>
      </c>
      <c r="B11" s="29">
        <f>SUMIF(tblCuentas[Nombre],"Tarjeta",tblCuentas[SaldoInicial])</f>
        <v/>
      </c>
      <c r="C11" s="29">
        <f>SUMIF(tblIngresos[Cuenta],"Tarjeta",tblIngresos[Valor])</f>
        <v/>
      </c>
      <c r="D11" s="29">
        <f>SUMIF(tblGastos[Cuenta],"Tarjeta",tblGastos[Valor])</f>
        <v/>
      </c>
      <c r="E11" s="29">
        <f>Motor!B12</f>
        <v/>
      </c>
    </row>
    <row r="13" ht="22" customHeight="1">
      <c r="A13" s="17" t="inlineStr">
        <is>
          <t>Resumen del mes</t>
        </is>
      </c>
    </row>
    <row r="14" ht="20" customHeight="1">
      <c r="A14" s="19" t="inlineStr">
        <is>
          <t>Total Ingresos del mes</t>
        </is>
      </c>
      <c r="B14" s="32">
        <f>Motor!B5</f>
        <v/>
      </c>
      <c r="C14" s="33" t="n"/>
    </row>
    <row r="15" ht="20" customHeight="1">
      <c r="A15" s="19" t="inlineStr">
        <is>
          <t>Total Gastos del mes</t>
        </is>
      </c>
      <c r="B15" s="34">
        <f>Motor!B6</f>
        <v/>
      </c>
      <c r="C15" s="35" t="n"/>
    </row>
    <row r="16" ht="20" customHeight="1">
      <c r="A16" s="19" t="inlineStr">
        <is>
          <t>Balance del mes</t>
        </is>
      </c>
      <c r="B16" s="36">
        <f>Motor!B7</f>
        <v/>
      </c>
      <c r="C16" s="37" t="n"/>
    </row>
    <row r="17" ht="20" customHeight="1">
      <c r="A17" s="19" t="inlineStr">
        <is>
          <t>Pendiente de pago</t>
        </is>
      </c>
      <c r="B17" s="38">
        <f>Motor!B20</f>
        <v/>
      </c>
      <c r="C17" s="39" t="n"/>
    </row>
    <row r="18" ht="20" customHeight="1">
      <c r="A18" s="19" t="inlineStr">
        <is>
          <t>Total vencido</t>
        </is>
      </c>
      <c r="B18" s="34">
        <f>Motor!B21</f>
        <v/>
      </c>
      <c r="C18" s="35" t="n"/>
    </row>
    <row r="21">
      <c r="A21" s="40" t="inlineStr">
        <is>
          <t>⚠️ Solo lectura. No editar. Los datos provienen del Motor.</t>
        </is>
      </c>
    </row>
  </sheetData>
  <mergeCells count="5">
    <mergeCell ref="A2:F2"/>
    <mergeCell ref="A13:C13"/>
    <mergeCell ref="A7:E7"/>
    <mergeCell ref="A1:F1"/>
    <mergeCell ref="A21:F21"/>
  </mergeCells>
  <conditionalFormatting sqref="C5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2026-08-03T17:23:26Z</dcterms:created>
  <dcterms:modified xsi:type="dcterms:W3CDTF">2026-08-03T17:28:37Z</dcterms:modified>
</cp:coreProperties>
</file>